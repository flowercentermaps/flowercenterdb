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\Downloads\"/>
    </mc:Choice>
  </mc:AlternateContent>
  <xr:revisionPtr revIDLastSave="0" documentId="8_{C63DA500-9247-47D8-8AF3-C604F2733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es &amp; Arrangme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3" l="1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K32" i="3" s="1"/>
  <c r="K36" i="3" s="1"/>
  <c r="B12" i="3"/>
  <c r="K7" i="3"/>
  <c r="B38" i="3" a="1"/>
  <c r="B38" i="3" l="1"/>
  <c r="K37" i="3"/>
  <c r="K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<sst xmlns="http://schemas.openxmlformats.org/spreadsheetml/2006/main" count="56" uniqueCount="55">
  <si>
    <t>FLOWER CENTER L.L.C</t>
  </si>
  <si>
    <t>فلور سنتر-الشارقة</t>
  </si>
  <si>
    <t xml:space="preserve"> Tel: +971 6 545 5558 / +971 55 965 3555</t>
  </si>
  <si>
    <t xml:space="preserve"> Email: artificial.trees3@gmail.com</t>
  </si>
  <si>
    <t xml:space="preserve"> بريد إلكتروني: artificial.trees3@gmail.com</t>
  </si>
  <si>
    <t xml:space="preserve"> Address: United Arab Emirates, Sharjah</t>
  </si>
  <si>
    <t xml:space="preserve"> العنوان: الإمارات العربية المتحدة , الشارقة</t>
  </si>
  <si>
    <t xml:space="preserve"> TRN: 100393229800003</t>
  </si>
  <si>
    <t xml:space="preserve">100393229800003 :رقم التسجيل الضريب </t>
  </si>
  <si>
    <t xml:space="preserve"> Management Contact: maheraktaa2000@gmail.com</t>
  </si>
  <si>
    <t xml:space="preserve"> للتواصل مع الادارة: maheraktaa2000@gmail.com</t>
  </si>
  <si>
    <t>To:</t>
  </si>
  <si>
    <t xml:space="preserve">Name: Mr/s. </t>
  </si>
  <si>
    <t>Quotation</t>
  </si>
  <si>
    <t>Quot. Date:</t>
  </si>
  <si>
    <t>Quot. No:</t>
  </si>
  <si>
    <t>AH-24101701</t>
  </si>
  <si>
    <t>TRN:</t>
  </si>
  <si>
    <t>Salesperson:</t>
  </si>
  <si>
    <t xml:space="preserve">Tel: </t>
  </si>
  <si>
    <t>Contact:</t>
  </si>
  <si>
    <t>Company:</t>
  </si>
  <si>
    <t>S.No</t>
  </si>
  <si>
    <t>Picture</t>
  </si>
  <si>
    <t>Item.No</t>
  </si>
  <si>
    <t>Description</t>
  </si>
  <si>
    <t>Width</t>
  </si>
  <si>
    <t>Production Time</t>
  </si>
  <si>
    <t>QTY</t>
  </si>
  <si>
    <t>Unit Price</t>
  </si>
  <si>
    <t>Total (AED)</t>
  </si>
  <si>
    <t>123456</t>
  </si>
  <si>
    <t>7 days</t>
  </si>
  <si>
    <t>PALM TREE</t>
  </si>
  <si>
    <t>Subtotal</t>
  </si>
  <si>
    <t>Delivery</t>
  </si>
  <si>
    <t>Installation Work</t>
  </si>
  <si>
    <t>Additional Details</t>
  </si>
  <si>
    <t>TOTAL Qty:</t>
  </si>
  <si>
    <t>Total Taxable</t>
  </si>
  <si>
    <t>VAT ( 5% )</t>
  </si>
  <si>
    <t>Net Total</t>
  </si>
  <si>
    <t>Terms &amp; Conditions</t>
  </si>
  <si>
    <t xml:space="preserve">            Thank you for your business!</t>
  </si>
  <si>
    <t xml:space="preserve">* Bank Account Name: FLOWER CENTER LLC.
    Account  NO: 15339805
    Bank Name:Abu Dhabi Islamic Bank - ( ADIB )
    IBAN AE130500000000015339805
    Swift Code: ABDIAEAD
   Currency:AED 
    </t>
  </si>
  <si>
    <r>
      <t xml:space="preserve">1. </t>
    </r>
    <r>
      <rPr>
        <sz val="14"/>
        <rFont val="Arial"/>
        <family val="2"/>
      </rPr>
      <t xml:space="preserve">50% of the order value must be paid in advance. This amount is </t>
    </r>
    <r>
      <rPr>
        <b/>
        <sz val="14"/>
        <rFont val="Arial"/>
        <family val="2"/>
      </rPr>
      <t>non-refundable</t>
    </r>
    <r>
      <rPr>
        <sz val="14"/>
        <rFont val="Arial"/>
        <family val="2"/>
      </rPr>
      <t xml:space="preserve">, and order processing begins </t>
    </r>
    <r>
      <rPr>
        <b/>
        <sz val="14"/>
        <rFont val="Arial"/>
        <family val="2"/>
      </rPr>
      <t>only after</t>
    </r>
    <r>
      <rPr>
        <sz val="14"/>
        <rFont val="Arial"/>
        <family val="2"/>
      </rPr>
      <t xml:space="preserve"> the amount is received in our bank account.</t>
    </r>
  </si>
  <si>
    <r>
      <t>2.</t>
    </r>
    <r>
      <rPr>
        <sz val="14"/>
        <rFont val="Arial"/>
        <family val="2"/>
      </rPr>
      <t xml:space="preserve"> Payment of the first installment constitutes full acceptance of these terms and conditions.</t>
    </r>
  </si>
  <si>
    <r>
      <t xml:space="preserve">3. </t>
    </r>
    <r>
      <rPr>
        <sz val="14"/>
        <rFont val="Arial"/>
        <family val="2"/>
      </rPr>
      <t xml:space="preserve">The remaining 50% must be paid </t>
    </r>
    <r>
      <rPr>
        <b/>
        <sz val="14"/>
        <rFont val="Arial"/>
        <family val="2"/>
      </rPr>
      <t>once the order is ready</t>
    </r>
    <r>
      <rPr>
        <sz val="14"/>
        <rFont val="Arial"/>
        <family val="2"/>
      </rPr>
      <t xml:space="preserve">, and </t>
    </r>
    <r>
      <rPr>
        <b/>
        <sz val="14"/>
        <rFont val="Arial"/>
        <family val="2"/>
      </rPr>
      <t>before delivery</t>
    </r>
    <r>
      <rPr>
        <sz val="14"/>
        <rFont val="Arial"/>
        <family val="2"/>
      </rPr>
      <t xml:space="preserve"> to the client, courier, or delivery representative.</t>
    </r>
  </si>
  <si>
    <r>
      <t xml:space="preserve">4. </t>
    </r>
    <r>
      <rPr>
        <sz val="14"/>
        <rFont val="Arial"/>
        <family val="2"/>
      </rPr>
      <t xml:space="preserve">A penalty of </t>
    </r>
    <r>
      <rPr>
        <b/>
        <sz val="14"/>
        <rFont val="Arial"/>
        <family val="2"/>
      </rPr>
      <t>1% of the total order value per day</t>
    </r>
    <r>
      <rPr>
        <sz val="14"/>
        <rFont val="Arial"/>
        <family val="2"/>
      </rPr>
      <t xml:space="preserve"> will be charged for each day the client delays receiving the order.</t>
    </r>
  </si>
  <si>
    <r>
      <t>6.</t>
    </r>
    <r>
      <rPr>
        <sz val="14"/>
        <rFont val="Arial"/>
        <family val="2"/>
      </rPr>
      <t xml:space="preserve"> All sales are </t>
    </r>
    <r>
      <rPr>
        <b/>
        <sz val="14"/>
        <rFont val="Arial"/>
        <family val="2"/>
      </rPr>
      <t>final</t>
    </r>
    <r>
      <rPr>
        <sz val="14"/>
        <rFont val="Arial"/>
        <family val="2"/>
      </rPr>
      <t>. No returns or exchanges are accepted.</t>
    </r>
  </si>
  <si>
    <r>
      <t xml:space="preserve">7. </t>
    </r>
    <r>
      <rPr>
        <sz val="14"/>
        <rFont val="Arial"/>
        <family val="2"/>
      </rPr>
      <t xml:space="preserve">The company is </t>
    </r>
    <r>
      <rPr>
        <b/>
        <sz val="14"/>
        <rFont val="Arial"/>
        <family val="2"/>
      </rPr>
      <t>not responsible</t>
    </r>
    <r>
      <rPr>
        <sz val="14"/>
        <rFont val="Arial"/>
        <family val="2"/>
      </rPr>
      <t xml:space="preserve"> for any damage that occurs to the product </t>
    </r>
    <r>
      <rPr>
        <b/>
        <sz val="14"/>
        <rFont val="Arial"/>
        <family val="2"/>
      </rPr>
      <t>after it leaves our premises</t>
    </r>
    <r>
      <rPr>
        <sz val="14"/>
        <rFont val="Arial"/>
        <family val="2"/>
      </rPr>
      <t>.</t>
    </r>
  </si>
  <si>
    <t>546423</t>
  </si>
  <si>
    <t>bonsai tree</t>
  </si>
  <si>
    <r>
      <t xml:space="preserve">5. </t>
    </r>
    <r>
      <rPr>
        <sz val="14"/>
        <rFont val="Arial"/>
        <family val="2"/>
      </rPr>
      <t xml:space="preserve">If the accumulated penalty equals the advance payment, the client </t>
    </r>
    <r>
      <rPr>
        <b/>
        <sz val="14"/>
        <rFont val="Arial"/>
        <family val="2"/>
      </rPr>
      <t>forfeits their right to the order</t>
    </r>
    <r>
      <rPr>
        <sz val="14"/>
        <rFont val="Arial"/>
        <family val="2"/>
      </rPr>
      <t>, and the company reserves the right to cancel it without refund.</t>
    </r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</si>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</sst>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mmmm\ d\,\ yyyy;@"/>
    <numFmt numFmtId="165" formatCode="[&lt;=9999999][$-1000000]###\-####;[$-1000000]\(###\)\ ###\-####"/>
    <numFmt numFmtId="166" formatCode="dd/mm/yyyy;@"/>
    <numFmt numFmtId="167" formatCode="##0.00\ \ \ \ [$AED]\ #;[Red]\ ##0.00\ \ \ \ [$AED]\ #"/>
    <numFmt numFmtId="168" formatCode="[$AED]\ #,##0.00_);\([$AED]\ #,##0.00\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5"/>
      <name val="Calibri Light"/>
      <family val="2"/>
      <scheme val="major"/>
    </font>
    <font>
      <b/>
      <sz val="18"/>
      <color rgb="FF008A70"/>
      <name val="Calibri Light"/>
      <family val="2"/>
      <scheme val="major"/>
    </font>
    <font>
      <sz val="12"/>
      <color rgb="FF008A70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b/>
      <sz val="24"/>
      <color rgb="FF008A70"/>
      <name val="Calibri Light"/>
      <family val="2"/>
      <scheme val="major"/>
    </font>
    <font>
      <sz val="10"/>
      <color theme="1" tint="0.14999847407452621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2"/>
      <color rgb="FF008A70"/>
      <name val="Calibri"/>
      <family val="2"/>
      <scheme val="minor"/>
    </font>
    <font>
      <sz val="12"/>
      <color rgb="FF008A70"/>
      <name val="Arial"/>
      <family val="2"/>
    </font>
    <font>
      <sz val="12"/>
      <name val="Arial"/>
      <family val="2"/>
    </font>
    <font>
      <b/>
      <sz val="12"/>
      <color theme="5"/>
      <name val="Calibri"/>
      <family val="2"/>
      <scheme val="minor"/>
    </font>
    <font>
      <sz val="8"/>
      <color theme="1" tint="0.14999847407452621"/>
      <name val="Calibri"/>
      <family val="2"/>
      <scheme val="minor"/>
    </font>
    <font>
      <b/>
      <sz val="12"/>
      <color rgb="FF008A70"/>
      <name val="Calibri"/>
      <family val="2"/>
    </font>
    <font>
      <b/>
      <sz val="12"/>
      <color theme="1" tint="0.14999847407452621"/>
      <name val="Calibri"/>
      <family val="2"/>
    </font>
    <font>
      <b/>
      <u/>
      <sz val="28"/>
      <color rgb="FF008A70"/>
      <name val="Calibri"/>
      <family val="2"/>
    </font>
    <font>
      <b/>
      <sz val="12"/>
      <color theme="1" tint="0.1499984740745262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22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</font>
    <font>
      <b/>
      <sz val="14"/>
      <color theme="1"/>
      <name val="Calibri"/>
      <family val="2"/>
    </font>
    <font>
      <sz val="28"/>
      <color theme="1" tint="0.14999847407452621"/>
      <name val="Libre Barcode 39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</font>
    <font>
      <sz val="8"/>
      <color rgb="FF000000"/>
      <name val="Segoe UI"/>
      <family val="2"/>
    </font>
    <font>
      <b/>
      <sz val="11"/>
      <color theme="1" tint="0.14999847407452621"/>
      <name val="Calibri"/>
      <family val="2"/>
    </font>
    <font>
      <b/>
      <sz val="22"/>
      <color theme="1" tint="0.14999847407452621"/>
      <name val="Calibri"/>
      <family val="2"/>
    </font>
    <font>
      <sz val="10"/>
      <color theme="1" tint="0.24994659260841701"/>
      <name val="Calibri"/>
      <family val="2"/>
      <scheme val="minor"/>
    </font>
    <font>
      <b/>
      <sz val="12"/>
      <color theme="1" tint="0.249977111117893"/>
      <name val="GoTHAM"/>
      <charset val="178"/>
    </font>
    <font>
      <b/>
      <sz val="14"/>
      <color theme="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name val="Arial"/>
      <family val="2"/>
    </font>
    <font>
      <sz val="14"/>
      <color theme="1" tint="0.14999847407452621"/>
      <name val="Calibri"/>
      <family val="2"/>
      <scheme val="minor"/>
    </font>
    <font>
      <sz val="14"/>
      <name val="Arial"/>
      <family val="2"/>
    </font>
    <font>
      <b/>
      <sz val="14"/>
      <color rgb="FF008A7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D1FFE8"/>
        <bgColor indexed="64"/>
      </patternFill>
    </fill>
    <fill>
      <patternFill patternType="solid">
        <fgColor rgb="FF00B08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FF5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8A70"/>
      </bottom>
      <diagonal/>
    </border>
    <border>
      <left/>
      <right/>
      <top style="thin">
        <color rgb="FF008A70"/>
      </top>
      <bottom/>
      <diagonal/>
    </border>
    <border>
      <left style="thin">
        <color theme="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8E"/>
      </left>
      <right/>
      <top style="thin">
        <color rgb="FF008A70"/>
      </top>
      <bottom style="thin">
        <color rgb="FF00B08E"/>
      </bottom>
      <diagonal/>
    </border>
    <border>
      <left style="thin">
        <color indexed="64"/>
      </left>
      <right style="thin">
        <color rgb="FF00B08E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8A70"/>
      </right>
      <top style="medium">
        <color indexed="64"/>
      </top>
      <bottom style="medium">
        <color indexed="64"/>
      </bottom>
      <diagonal/>
    </border>
    <border>
      <left style="thin">
        <color rgb="FF008A70"/>
      </left>
      <right style="thin">
        <color rgb="FF008A70"/>
      </right>
      <top style="medium">
        <color indexed="64"/>
      </top>
      <bottom style="medium">
        <color indexed="64"/>
      </bottom>
      <diagonal/>
    </border>
    <border>
      <left style="thin">
        <color rgb="FF008A7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7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B08E"/>
      </left>
      <right/>
      <top style="medium">
        <color indexed="64"/>
      </top>
      <bottom style="thin">
        <color rgb="FF00B08E"/>
      </bottom>
      <diagonal/>
    </border>
    <border>
      <left style="thin">
        <color indexed="64"/>
      </left>
      <right style="thin">
        <color rgb="FF00B08E"/>
      </right>
      <top style="medium">
        <color indexed="64"/>
      </top>
      <bottom style="thin">
        <color indexed="64"/>
      </bottom>
      <diagonal/>
    </border>
    <border>
      <left style="thin">
        <color rgb="FF00B08E"/>
      </left>
      <right style="medium">
        <color indexed="64"/>
      </right>
      <top style="medium">
        <color indexed="64"/>
      </top>
      <bottom style="thin">
        <color rgb="FF00B08E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8E"/>
      </left>
      <right style="medium">
        <color indexed="64"/>
      </right>
      <top style="thin">
        <color rgb="FF008A70"/>
      </top>
      <bottom style="thin">
        <color rgb="FF00B08E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7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B08E"/>
      </left>
      <right/>
      <top style="thin">
        <color rgb="FF008A70"/>
      </top>
      <bottom style="medium">
        <color indexed="64"/>
      </bottom>
      <diagonal/>
    </border>
    <border>
      <left style="thin">
        <color indexed="64"/>
      </left>
      <right style="thin">
        <color rgb="FF00B08E"/>
      </right>
      <top style="thin">
        <color indexed="64"/>
      </top>
      <bottom style="medium">
        <color indexed="64"/>
      </bottom>
      <diagonal/>
    </border>
    <border>
      <left style="thin">
        <color rgb="FF00B08E"/>
      </left>
      <right style="medium">
        <color indexed="64"/>
      </right>
      <top style="thin">
        <color rgb="FF008A70"/>
      </top>
      <bottom style="medium">
        <color indexed="64"/>
      </bottom>
      <diagonal/>
    </border>
    <border>
      <left style="thin">
        <color rgb="FF008A70"/>
      </left>
      <right style="thin">
        <color rgb="FF008A70"/>
      </right>
      <top style="thin">
        <color rgb="FF008A70"/>
      </top>
      <bottom/>
      <diagonal/>
    </border>
    <border>
      <left style="thin">
        <color rgb="FF008A70"/>
      </left>
      <right/>
      <top style="thin">
        <color rgb="FF008A70"/>
      </top>
      <bottom/>
      <diagonal/>
    </border>
    <border>
      <left style="thin">
        <color rgb="FF008A70"/>
      </left>
      <right style="thin">
        <color rgb="FF008A70"/>
      </right>
      <top style="thin">
        <color rgb="FF008A70"/>
      </top>
      <bottom style="thin">
        <color rgb="FF008A70"/>
      </bottom>
      <diagonal/>
    </border>
    <border>
      <left style="thin">
        <color rgb="FF008A70"/>
      </left>
      <right/>
      <top style="thin">
        <color rgb="FF008A70"/>
      </top>
      <bottom style="thin">
        <color rgb="FF008A70"/>
      </bottom>
      <diagonal/>
    </border>
    <border>
      <left/>
      <right style="thin">
        <color rgb="FF008A70"/>
      </right>
      <top style="thin">
        <color rgb="FF008A70"/>
      </top>
      <bottom style="thin">
        <color rgb="FF008A70"/>
      </bottom>
      <diagonal/>
    </border>
    <border>
      <left style="thin">
        <color rgb="FF008A70"/>
      </left>
      <right/>
      <top/>
      <bottom/>
      <diagonal/>
    </border>
    <border>
      <left style="thin">
        <color rgb="FF008A70"/>
      </left>
      <right style="thin">
        <color rgb="FF008A70"/>
      </right>
      <top/>
      <bottom style="thin">
        <color rgb="FF008A70"/>
      </bottom>
      <diagonal/>
    </border>
    <border>
      <left/>
      <right style="thin">
        <color rgb="FF008A70"/>
      </right>
      <top/>
      <bottom/>
      <diagonal/>
    </border>
    <border>
      <left style="medium">
        <color theme="9" tint="0.39994506668294322"/>
      </left>
      <right/>
      <top style="medium">
        <color theme="9" tint="0.39994506668294322"/>
      </top>
      <bottom style="medium">
        <color theme="9" tint="0.39994506668294322"/>
      </bottom>
      <diagonal/>
    </border>
    <border>
      <left/>
      <right/>
      <top style="medium">
        <color theme="9" tint="0.39994506668294322"/>
      </top>
      <bottom style="medium">
        <color theme="9" tint="0.39994506668294322"/>
      </bottom>
      <diagonal/>
    </border>
    <border>
      <left/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>
      <alignment horizontal="left" vertical="center"/>
    </xf>
    <xf numFmtId="0" fontId="9" fillId="0" borderId="0">
      <alignment horizontal="right" vertical="top"/>
    </xf>
    <xf numFmtId="0" fontId="30" fillId="0" borderId="0"/>
  </cellStyleXfs>
  <cellXfs count="103">
    <xf numFmtId="0" fontId="0" fillId="0" borderId="0" xfId="0"/>
    <xf numFmtId="0" fontId="5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5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3" fillId="0" borderId="0" xfId="5" applyFont="1" applyAlignment="1">
      <alignment horizontal="left" vertical="center"/>
    </xf>
    <xf numFmtId="0" fontId="9" fillId="0" borderId="0" xfId="5" applyAlignment="1">
      <alignment horizontal="right"/>
    </xf>
    <xf numFmtId="164" fontId="14" fillId="0" borderId="0" xfId="0" applyNumberFormat="1" applyFont="1" applyAlignment="1">
      <alignment horizontal="left"/>
    </xf>
    <xf numFmtId="0" fontId="10" fillId="4" borderId="0" xfId="5" applyFont="1" applyFill="1" applyAlignment="1">
      <alignment vertical="center"/>
    </xf>
    <xf numFmtId="0" fontId="10" fillId="4" borderId="1" xfId="5" applyFont="1" applyFill="1" applyBorder="1" applyAlignment="1">
      <alignment vertical="center"/>
    </xf>
    <xf numFmtId="0" fontId="9" fillId="0" borderId="0" xfId="5">
      <alignment horizontal="right" vertical="top"/>
    </xf>
    <xf numFmtId="0" fontId="14" fillId="0" borderId="0" xfId="0" applyFont="1" applyAlignment="1">
      <alignment horizontal="left" vertical="center"/>
    </xf>
    <xf numFmtId="0" fontId="15" fillId="0" borderId="2" xfId="5" applyFont="1" applyBorder="1" applyAlignment="1">
      <alignment horizontal="right"/>
    </xf>
    <xf numFmtId="0" fontId="16" fillId="0" borderId="2" xfId="0" applyFont="1" applyBorder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5" fillId="0" borderId="0" xfId="5" applyFont="1" applyAlignment="1">
      <alignment horizontal="right" vertical="center"/>
    </xf>
    <xf numFmtId="0" fontId="15" fillId="0" borderId="0" xfId="5" applyFont="1">
      <alignment horizontal="right" vertical="top"/>
    </xf>
    <xf numFmtId="165" fontId="16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166" fontId="16" fillId="0" borderId="2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21" fillId="7" borderId="3" xfId="0" applyFont="1" applyFill="1" applyBorder="1" applyAlignment="1">
      <alignment horizontal="center" vertical="center" wrapText="1"/>
    </xf>
    <xf numFmtId="49" fontId="22" fillId="8" borderId="4" xfId="1" applyNumberFormat="1" applyFont="1" applyFill="1" applyBorder="1" applyAlignment="1" applyProtection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11" fillId="0" borderId="0" xfId="0" applyNumberFormat="1" applyFont="1"/>
    <xf numFmtId="1" fontId="12" fillId="0" borderId="0" xfId="0" applyNumberFormat="1" applyFont="1"/>
    <xf numFmtId="1" fontId="10" fillId="0" borderId="0" xfId="5" applyNumberFormat="1" applyFont="1" applyAlignment="1">
      <alignment horizontal="left" vertical="center"/>
    </xf>
    <xf numFmtId="1" fontId="10" fillId="4" borderId="0" xfId="5" applyNumberFormat="1" applyFont="1" applyFill="1" applyAlignment="1">
      <alignment vertical="center"/>
    </xf>
    <xf numFmtId="1" fontId="0" fillId="0" borderId="0" xfId="0" applyNumberFormat="1"/>
    <xf numFmtId="0" fontId="10" fillId="0" borderId="0" xfId="5" applyFont="1" applyAlignment="1">
      <alignment vertical="center"/>
    </xf>
    <xf numFmtId="49" fontId="22" fillId="8" borderId="5" xfId="0" applyNumberFormat="1" applyFont="1" applyFill="1" applyBorder="1" applyAlignment="1">
      <alignment horizontal="center" vertical="center" wrapText="1"/>
    </xf>
    <xf numFmtId="49" fontId="22" fillId="8" borderId="6" xfId="0" applyNumberFormat="1" applyFont="1" applyFill="1" applyBorder="1" applyAlignment="1">
      <alignment horizontal="center" vertical="center"/>
    </xf>
    <xf numFmtId="1" fontId="22" fillId="8" borderId="4" xfId="0" applyNumberFormat="1" applyFont="1" applyFill="1" applyBorder="1" applyAlignment="1">
      <alignment horizontal="center" vertical="center"/>
    </xf>
    <xf numFmtId="2" fontId="22" fillId="8" borderId="6" xfId="0" applyNumberFormat="1" applyFont="1" applyFill="1" applyBorder="1" applyAlignment="1">
      <alignment horizontal="center" vertical="center"/>
    </xf>
    <xf numFmtId="167" fontId="19" fillId="5" borderId="7" xfId="2" applyNumberFormat="1" applyFont="1" applyFill="1" applyBorder="1" applyAlignment="1">
      <alignment horizontal="center" vertical="center"/>
    </xf>
    <xf numFmtId="167" fontId="19" fillId="5" borderId="8" xfId="2" applyNumberFormat="1" applyFont="1" applyFill="1" applyBorder="1" applyAlignment="1">
      <alignment horizontal="center" vertical="center"/>
    </xf>
    <xf numFmtId="1" fontId="19" fillId="5" borderId="8" xfId="2" applyNumberFormat="1" applyFont="1" applyFill="1" applyBorder="1" applyAlignment="1">
      <alignment horizontal="center" vertical="center"/>
    </xf>
    <xf numFmtId="167" fontId="19" fillId="5" borderId="9" xfId="2" applyNumberFormat="1" applyFont="1" applyFill="1" applyBorder="1" applyAlignment="1">
      <alignment horizontal="center" vertical="center"/>
    </xf>
    <xf numFmtId="12" fontId="20" fillId="6" borderId="10" xfId="3" applyNumberFormat="1" applyFont="1" applyFill="1" applyBorder="1" applyAlignment="1" applyProtection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49" fontId="22" fillId="8" borderId="12" xfId="1" applyNumberFormat="1" applyFont="1" applyFill="1" applyBorder="1" applyAlignment="1" applyProtection="1">
      <alignment horizontal="center" vertical="center"/>
    </xf>
    <xf numFmtId="49" fontId="22" fillId="8" borderId="13" xfId="0" applyNumberFormat="1" applyFont="1" applyFill="1" applyBorder="1" applyAlignment="1">
      <alignment horizontal="center" vertical="center" wrapText="1"/>
    </xf>
    <xf numFmtId="49" fontId="22" fillId="8" borderId="14" xfId="0" applyNumberFormat="1" applyFont="1" applyFill="1" applyBorder="1" applyAlignment="1">
      <alignment horizontal="center" vertical="center"/>
    </xf>
    <xf numFmtId="1" fontId="22" fillId="8" borderId="12" xfId="0" applyNumberFormat="1" applyFont="1" applyFill="1" applyBorder="1" applyAlignment="1">
      <alignment horizontal="center" vertical="center"/>
    </xf>
    <xf numFmtId="2" fontId="22" fillId="8" borderId="14" xfId="0" applyNumberFormat="1" applyFont="1" applyFill="1" applyBorder="1" applyAlignment="1">
      <alignment horizontal="center" vertical="center"/>
    </xf>
    <xf numFmtId="12" fontId="20" fillId="6" borderId="16" xfId="3" applyNumberFormat="1" applyFont="1" applyFill="1" applyBorder="1" applyAlignment="1" applyProtection="1">
      <alignment horizontal="center" vertical="center" wrapText="1"/>
    </xf>
    <xf numFmtId="12" fontId="20" fillId="6" borderId="18" xfId="3" applyNumberFormat="1" applyFont="1" applyFill="1" applyBorder="1" applyAlignment="1" applyProtection="1">
      <alignment horizontal="center" vertical="center" wrapText="1"/>
    </xf>
    <xf numFmtId="0" fontId="21" fillId="7" borderId="19" xfId="0" applyFont="1" applyFill="1" applyBorder="1" applyAlignment="1">
      <alignment horizontal="center" vertical="center" wrapText="1"/>
    </xf>
    <xf numFmtId="49" fontId="22" fillId="8" borderId="20" xfId="1" applyNumberFormat="1" applyFont="1" applyFill="1" applyBorder="1" applyAlignment="1" applyProtection="1">
      <alignment horizontal="center" vertical="center"/>
    </xf>
    <xf numFmtId="49" fontId="22" fillId="8" borderId="21" xfId="0" applyNumberFormat="1" applyFont="1" applyFill="1" applyBorder="1" applyAlignment="1">
      <alignment horizontal="center" vertical="center" wrapText="1"/>
    </xf>
    <xf numFmtId="49" fontId="22" fillId="8" borderId="22" xfId="0" applyNumberFormat="1" applyFont="1" applyFill="1" applyBorder="1" applyAlignment="1">
      <alignment horizontal="center" vertical="center"/>
    </xf>
    <xf numFmtId="1" fontId="22" fillId="8" borderId="20" xfId="0" applyNumberFormat="1" applyFont="1" applyFill="1" applyBorder="1" applyAlignment="1">
      <alignment horizontal="center" vertical="center"/>
    </xf>
    <xf numFmtId="2" fontId="22" fillId="8" borderId="22" xfId="0" applyNumberFormat="1" applyFont="1" applyFill="1" applyBorder="1" applyAlignment="1">
      <alignment horizontal="center" vertical="center"/>
    </xf>
    <xf numFmtId="0" fontId="25" fillId="0" borderId="0" xfId="0" applyFont="1"/>
    <xf numFmtId="1" fontId="25" fillId="0" borderId="0" xfId="0" applyNumberFormat="1" applyFont="1"/>
    <xf numFmtId="12" fontId="23" fillId="9" borderId="24" xfId="3" applyNumberFormat="1" applyFont="1" applyFill="1" applyBorder="1" applyAlignment="1">
      <alignment horizontal="center" vertical="center" wrapText="1"/>
    </xf>
    <xf numFmtId="12" fontId="25" fillId="9" borderId="24" xfId="3" applyNumberFormat="1" applyFont="1" applyFill="1" applyBorder="1" applyAlignment="1">
      <alignment horizontal="center" vertical="center" wrapText="1"/>
    </xf>
    <xf numFmtId="167" fontId="26" fillId="5" borderId="24" xfId="2" applyNumberFormat="1" applyFont="1" applyFill="1" applyBorder="1" applyAlignment="1">
      <alignment horizontal="center" vertical="center"/>
    </xf>
    <xf numFmtId="168" fontId="26" fillId="5" borderId="25" xfId="1" applyNumberFormat="1" applyFont="1" applyFill="1" applyBorder="1" applyAlignment="1">
      <alignment horizontal="center" vertical="center"/>
    </xf>
    <xf numFmtId="167" fontId="19" fillId="5" borderId="29" xfId="2" applyNumberFormat="1" applyFont="1" applyFill="1" applyBorder="1" applyAlignment="1">
      <alignment horizontal="center" vertical="center"/>
    </xf>
    <xf numFmtId="168" fontId="19" fillId="5" borderId="30" xfId="1" applyNumberFormat="1" applyFont="1" applyFill="1" applyBorder="1" applyAlignment="1">
      <alignment horizontal="center" vertical="center"/>
    </xf>
    <xf numFmtId="167" fontId="19" fillId="5" borderId="26" xfId="2" applyNumberFormat="1" applyFont="1" applyFill="1" applyBorder="1" applyAlignment="1">
      <alignment horizontal="center" vertical="center"/>
    </xf>
    <xf numFmtId="168" fontId="19" fillId="5" borderId="26" xfId="1" applyNumberFormat="1" applyFont="1" applyFill="1" applyBorder="1" applyAlignment="1">
      <alignment horizontal="center" vertical="center"/>
    </xf>
    <xf numFmtId="167" fontId="28" fillId="10" borderId="26" xfId="0" applyNumberFormat="1" applyFont="1" applyFill="1" applyBorder="1" applyAlignment="1">
      <alignment horizontal="center" vertical="center"/>
    </xf>
    <xf numFmtId="168" fontId="16" fillId="10" borderId="26" xfId="1" applyNumberFormat="1" applyFont="1" applyFill="1" applyBorder="1" applyAlignment="1">
      <alignment horizontal="center" vertical="center"/>
    </xf>
    <xf numFmtId="167" fontId="28" fillId="10" borderId="24" xfId="0" applyNumberFormat="1" applyFont="1" applyFill="1" applyBorder="1" applyAlignment="1">
      <alignment horizontal="center" vertical="center"/>
    </xf>
    <xf numFmtId="167" fontId="29" fillId="10" borderId="24" xfId="0" applyNumberFormat="1" applyFont="1" applyFill="1" applyBorder="1" applyAlignment="1">
      <alignment horizontal="center" vertical="center"/>
    </xf>
    <xf numFmtId="168" fontId="28" fillId="10" borderId="24" xfId="1" applyNumberFormat="1" applyFont="1" applyFill="1" applyBorder="1" applyAlignment="1">
      <alignment horizontal="center" vertical="center"/>
    </xf>
    <xf numFmtId="168" fontId="28" fillId="10" borderId="26" xfId="1" applyNumberFormat="1" applyFont="1" applyFill="1" applyBorder="1" applyAlignment="1">
      <alignment horizontal="center" vertical="center"/>
    </xf>
    <xf numFmtId="0" fontId="31" fillId="0" borderId="0" xfId="6" applyFont="1"/>
    <xf numFmtId="0" fontId="33" fillId="0" borderId="0" xfId="0" applyFont="1" applyAlignment="1">
      <alignment horizontal="center" vertical="center" wrapText="1"/>
    </xf>
    <xf numFmtId="0" fontId="34" fillId="0" borderId="0" xfId="0" applyFont="1"/>
    <xf numFmtId="0" fontId="35" fillId="0" borderId="0" xfId="0" applyFont="1" applyAlignment="1">
      <alignment vertical="top"/>
    </xf>
    <xf numFmtId="0" fontId="35" fillId="0" borderId="0" xfId="0" applyFont="1"/>
    <xf numFmtId="0" fontId="35" fillId="0" borderId="0" xfId="0" applyFont="1" applyAlignment="1">
      <alignment horizontal="center" vertical="center"/>
    </xf>
    <xf numFmtId="2" fontId="22" fillId="8" borderId="12" xfId="0" applyNumberFormat="1" applyFont="1" applyFill="1" applyBorder="1" applyAlignment="1">
      <alignment horizontal="center" vertical="center" wrapText="1"/>
    </xf>
    <xf numFmtId="2" fontId="22" fillId="8" borderId="4" xfId="0" applyNumberFormat="1" applyFont="1" applyFill="1" applyBorder="1" applyAlignment="1">
      <alignment horizontal="center" vertical="center" wrapText="1"/>
    </xf>
    <xf numFmtId="2" fontId="22" fillId="8" borderId="20" xfId="0" applyNumberFormat="1" applyFont="1" applyFill="1" applyBorder="1" applyAlignment="1">
      <alignment horizontal="center" vertical="center" wrapText="1"/>
    </xf>
    <xf numFmtId="2" fontId="23" fillId="9" borderId="15" xfId="1" applyNumberFormat="1" applyFont="1" applyFill="1" applyBorder="1" applyAlignment="1" applyProtection="1">
      <alignment horizontal="center" vertical="center" wrapText="1"/>
    </xf>
    <xf numFmtId="2" fontId="23" fillId="9" borderId="17" xfId="1" applyNumberFormat="1" applyFont="1" applyFill="1" applyBorder="1" applyAlignment="1" applyProtection="1">
      <alignment horizontal="center" vertical="center" wrapText="1"/>
    </xf>
    <xf numFmtId="2" fontId="23" fillId="9" borderId="23" xfId="1" applyNumberFormat="1" applyFont="1" applyFill="1" applyBorder="1" applyAlignment="1" applyProtection="1">
      <alignment horizontal="center" vertical="center" wrapText="1"/>
    </xf>
    <xf numFmtId="0" fontId="10" fillId="0" borderId="0" xfId="5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4" fillId="0" borderId="0" xfId="4" applyFont="1">
      <alignment horizontal="left" vertical="center"/>
    </xf>
    <xf numFmtId="0" fontId="10" fillId="0" borderId="0" xfId="5" applyFont="1" applyAlignment="1">
      <alignment horizontal="right" vertical="center"/>
    </xf>
    <xf numFmtId="0" fontId="22" fillId="7" borderId="0" xfId="0" applyFont="1" applyFill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7" fontId="28" fillId="10" borderId="27" xfId="0" applyNumberFormat="1" applyFont="1" applyFill="1" applyBorder="1" applyAlignment="1">
      <alignment horizontal="center" vertical="center"/>
    </xf>
    <xf numFmtId="167" fontId="28" fillId="10" borderId="2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</cellXfs>
  <cellStyles count="7">
    <cellStyle name="40% - Accent4" xfId="3" builtinId="43"/>
    <cellStyle name="Accent2" xfId="2" builtinId="33"/>
    <cellStyle name="Comma" xfId="1" builtinId="3"/>
    <cellStyle name="Company name" xfId="4" xr:uid="{AD5BCFF1-73C6-4238-84E6-76BB3B83EE66}"/>
    <cellStyle name="Normal" xfId="0" builtinId="0"/>
    <cellStyle name="Normal 2" xfId="5" xr:uid="{4D7D1572-F239-4987-BC81-B0AFCCFD9BD3}"/>
    <cellStyle name="Normal 6" xfId="6" xr:uid="{23E765FF-0009-4A29-ABEF-6AF49663B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1114425</xdr:colOff>
      <xdr:row>0</xdr:row>
      <xdr:rowOff>0</xdr:rowOff>
    </xdr:from>
    <xdr:to>
      <xdr:col>7</xdr:col>
      <xdr:colOff>152400</xdr:colOff>
      <xdr:row>4</xdr:row>
      <xdr:rowOff>111807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E89FE-692B-48FB-8188-1AA1F35A9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0"/>
          <a:ext cx="2209800" cy="111193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32</xdr:row>
          <xdr:rowOff>160020</xdr:rowOff>
        </xdr:from>
        <xdr:to>
          <xdr:col>9</xdr:col>
          <xdr:colOff>182880</xdr:colOff>
          <xdr:row>34</xdr:row>
          <xdr:rowOff>266700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With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31</xdr:row>
          <xdr:rowOff>160020</xdr:rowOff>
        </xdr:from>
        <xdr:to>
          <xdr:col>9</xdr:col>
          <xdr:colOff>571500</xdr:colOff>
          <xdr:row>33</xdr:row>
          <xdr:rowOff>198120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Without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32</xdr:row>
          <xdr:rowOff>7620</xdr:rowOff>
        </xdr:from>
        <xdr:to>
          <xdr:col>9</xdr:col>
          <xdr:colOff>7620</xdr:colOff>
          <xdr:row>33</xdr:row>
          <xdr:rowOff>137160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With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32</xdr:row>
          <xdr:rowOff>350520</xdr:rowOff>
        </xdr:from>
        <xdr:to>
          <xdr:col>9</xdr:col>
          <xdr:colOff>579120</xdr:colOff>
          <xdr:row>34</xdr:row>
          <xdr:rowOff>83820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Without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609601</xdr:colOff>
      <xdr:row>11</xdr:row>
      <xdr:rowOff>69530</xdr:rowOff>
    </xdr:from>
    <xdr:to>
      <xdr:col>2</xdr:col>
      <xdr:colOff>1733551</xdr:colOff>
      <xdr:row>11</xdr:row>
      <xdr:rowOff>1878706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48F1C9-7902-43A9-8CA3-734927ABF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1" y="2488880"/>
          <a:ext cx="1123950" cy="1809176"/>
        </a:xfrm>
        <a:prstGeom prst="rect">
          <a:avLst/>
        </a:prstGeom>
      </xdr:spPr>
    </xdr:pic>
    <xdr:clientData/>
  </xdr:twoCellAnchor>
  <xdr:twoCellAnchor editAs="oneCell">
    <xdr:from>
      <xdr:col>2</xdr:col>
      <xdr:colOff>565843</xdr:colOff>
      <xdr:row>12</xdr:row>
      <xdr:rowOff>104775</xdr:rowOff>
    </xdr:from>
    <xdr:to>
      <xdr:col>2</xdr:col>
      <xdr:colOff>1739207</xdr:colOff>
      <xdr:row>12</xdr:row>
      <xdr:rowOff>1838325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B754C1-F064-48D6-9CAC-31A084C0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193" y="4429125"/>
          <a:ext cx="1173364" cy="1733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EF01-0F08-4024-AF63-870530DF4CDF}">
  <sheetPr>
    <tabColor rgb="FF0070C0"/>
    <pageSetUpPr fitToPage="1"/>
  </sheetPr>
  <dimension ref="B1:P52"/>
  <sheetViews>
    <sheetView showGridLines="0" tabSelected="1" workbookViewId="0">
      <selection activeCell="B38" sqref="B38:I38"/>
    </sheetView>
  </sheetViews>
  <sheetFormatPr defaultRowHeight="14.4"/>
  <cols>
    <col min="1" max="1" width="4.109375" customWidth="1"/>
    <col min="2" max="2" width="9.33203125" customWidth="1"/>
    <col min="3" max="3" width="41.33203125" customWidth="1"/>
    <col min="4" max="4" width="11.33203125" customWidth="1"/>
    <col min="5" max="5" width="30.109375" customWidth="1"/>
    <col min="6" max="7" width="8.6640625" style="35" customWidth="1"/>
    <col min="8" max="8" width="17.5546875" bestFit="1" customWidth="1"/>
    <col min="9" max="9" width="9" customWidth="1"/>
    <col min="10" max="10" width="19.109375" customWidth="1"/>
    <col min="11" max="11" width="20" customWidth="1"/>
  </cols>
  <sheetData>
    <row r="1" spans="2:16" s="3" customFormat="1" ht="31.2">
      <c r="B1" s="90" t="s">
        <v>0</v>
      </c>
      <c r="C1" s="90"/>
      <c r="D1" s="1"/>
      <c r="E1" s="1"/>
      <c r="F1" s="30"/>
      <c r="G1" s="30"/>
      <c r="H1" s="2"/>
      <c r="J1" s="89" t="s">
        <v>1</v>
      </c>
      <c r="K1" s="89"/>
      <c r="N1" s="4"/>
    </row>
    <row r="2" spans="2:16" s="3" customFormat="1" ht="15.6">
      <c r="B2" s="88" t="s">
        <v>2</v>
      </c>
      <c r="C2" s="88"/>
      <c r="D2" s="6"/>
      <c r="E2" s="6"/>
      <c r="F2" s="31"/>
      <c r="G2" s="31"/>
      <c r="H2" s="7"/>
      <c r="J2" s="91" t="s">
        <v>2</v>
      </c>
      <c r="K2" s="91"/>
      <c r="N2" s="4"/>
    </row>
    <row r="3" spans="2:16" s="3" customFormat="1" ht="15.6">
      <c r="B3" s="88" t="s">
        <v>3</v>
      </c>
      <c r="C3" s="88"/>
      <c r="D3" s="1"/>
      <c r="E3" s="1"/>
      <c r="F3" s="30"/>
      <c r="G3" s="30"/>
      <c r="H3" s="2"/>
      <c r="J3" s="36"/>
      <c r="K3" s="36" t="s">
        <v>4</v>
      </c>
      <c r="N3" s="4"/>
    </row>
    <row r="4" spans="2:16" s="3" customFormat="1" ht="15.6">
      <c r="B4" s="88" t="s">
        <v>5</v>
      </c>
      <c r="C4" s="88"/>
      <c r="D4" s="7"/>
      <c r="E4" s="7"/>
      <c r="F4" s="32"/>
      <c r="G4" s="32"/>
      <c r="H4" s="8"/>
      <c r="J4" s="36"/>
      <c r="K4" s="36" t="s">
        <v>6</v>
      </c>
      <c r="N4" s="4"/>
      <c r="O4" s="9"/>
      <c r="P4" s="10"/>
    </row>
    <row r="5" spans="2:16" s="3" customFormat="1" ht="15.6">
      <c r="B5" s="88" t="s">
        <v>7</v>
      </c>
      <c r="C5" s="88"/>
      <c r="D5" s="5"/>
      <c r="E5" s="5"/>
      <c r="F5" s="33"/>
      <c r="G5" s="33"/>
      <c r="H5" s="8"/>
      <c r="J5" s="36"/>
      <c r="K5" s="36" t="s">
        <v>8</v>
      </c>
      <c r="N5" s="4"/>
      <c r="O5" s="9"/>
      <c r="P5" s="10"/>
    </row>
    <row r="6" spans="2:16" s="3" customFormat="1" ht="15.6">
      <c r="B6" s="11" t="s">
        <v>9</v>
      </c>
      <c r="C6" s="11"/>
      <c r="D6" s="11"/>
      <c r="E6" s="11"/>
      <c r="F6" s="34"/>
      <c r="G6" s="34"/>
      <c r="H6" s="11"/>
      <c r="I6" s="11"/>
      <c r="J6" s="11"/>
      <c r="K6" s="12" t="s">
        <v>10</v>
      </c>
      <c r="N6" s="4"/>
      <c r="O6" s="13"/>
      <c r="P6" s="14"/>
    </row>
    <row r="7" spans="2:16" s="17" customFormat="1" ht="15.6">
      <c r="B7" s="15" t="s">
        <v>11</v>
      </c>
      <c r="C7" s="16" t="s">
        <v>12</v>
      </c>
      <c r="D7" s="93" t="s">
        <v>13</v>
      </c>
      <c r="E7" s="93"/>
      <c r="F7" s="93"/>
      <c r="G7" s="93"/>
      <c r="H7" s="93"/>
      <c r="I7" s="93"/>
      <c r="J7" s="15" t="s">
        <v>14</v>
      </c>
      <c r="K7" s="25">
        <f ca="1">TODAY()</f>
        <v>46100</v>
      </c>
      <c r="L7" s="2"/>
      <c r="N7" s="18"/>
      <c r="O7" s="13"/>
      <c r="P7" s="14"/>
    </row>
    <row r="8" spans="2:16" s="17" customFormat="1" ht="15.6">
      <c r="B8" s="19"/>
      <c r="C8" s="20" t="s">
        <v>21</v>
      </c>
      <c r="D8" s="94"/>
      <c r="E8" s="94"/>
      <c r="F8" s="94"/>
      <c r="G8" s="94"/>
      <c r="H8" s="94"/>
      <c r="I8" s="94"/>
      <c r="J8" s="21" t="s">
        <v>15</v>
      </c>
      <c r="K8" s="20" t="s">
        <v>16</v>
      </c>
      <c r="L8" s="2"/>
      <c r="N8" s="18"/>
      <c r="O8" s="13"/>
      <c r="P8" s="14"/>
    </row>
    <row r="9" spans="2:16" s="17" customFormat="1" ht="15.6">
      <c r="B9" s="19"/>
      <c r="C9" s="20" t="s">
        <v>17</v>
      </c>
      <c r="D9" s="94"/>
      <c r="E9" s="94"/>
      <c r="F9" s="94"/>
      <c r="G9" s="94"/>
      <c r="H9" s="94"/>
      <c r="I9" s="94"/>
      <c r="J9" s="21" t="s">
        <v>18</v>
      </c>
      <c r="K9" s="20"/>
      <c r="L9" s="2"/>
      <c r="N9" s="18"/>
      <c r="O9" s="13"/>
      <c r="P9" s="14"/>
    </row>
    <row r="10" spans="2:16" s="17" customFormat="1" ht="16.2" thickBot="1">
      <c r="B10" s="2"/>
      <c r="C10" s="20" t="s">
        <v>19</v>
      </c>
      <c r="D10" s="94"/>
      <c r="E10" s="94"/>
      <c r="F10" s="94"/>
      <c r="G10" s="94"/>
      <c r="H10" s="94"/>
      <c r="I10" s="94"/>
      <c r="J10" s="22" t="s">
        <v>20</v>
      </c>
      <c r="K10" s="23"/>
      <c r="L10" s="2"/>
      <c r="N10" s="18"/>
      <c r="O10" s="13"/>
      <c r="P10" s="24"/>
    </row>
    <row r="11" spans="2:16" s="26" customFormat="1" ht="16.2" thickBot="1">
      <c r="B11" s="41" t="s">
        <v>22</v>
      </c>
      <c r="C11" s="42" t="s">
        <v>23</v>
      </c>
      <c r="D11" s="42" t="s">
        <v>24</v>
      </c>
      <c r="E11" s="42" t="s">
        <v>25</v>
      </c>
      <c r="F11" s="43" t="s">
        <v>54</v>
      </c>
      <c r="G11" s="43" t="s">
        <v>26</v>
      </c>
      <c r="H11" s="42" t="s">
        <v>27</v>
      </c>
      <c r="I11" s="42" t="s">
        <v>28</v>
      </c>
      <c r="J11" s="42" t="s">
        <v>29</v>
      </c>
      <c r="K11" s="44" t="s">
        <v>30</v>
      </c>
    </row>
    <row r="12" spans="2:16" s="3" customFormat="1" ht="150" customHeight="1">
      <c r="B12" s="45" t="str">
        <f>IF(ISBLANK(D12),,"No."&amp;ROW()-11)</f>
        <v>No.1</v>
      </c>
      <c r="C12" s="46"/>
      <c r="D12" s="47" t="s">
        <v>31</v>
      </c>
      <c r="E12" s="48" t="s">
        <v>33</v>
      </c>
      <c r="F12" s="82">
        <v>2</v>
      </c>
      <c r="G12" s="82">
        <v>13.3</v>
      </c>
      <c r="H12" s="49" t="s">
        <v>32</v>
      </c>
      <c r="I12" s="50">
        <v>2</v>
      </c>
      <c r="J12" s="51">
        <v>13.25</v>
      </c>
      <c r="K12" s="85">
        <f>I12*J12</f>
        <v>26.5</v>
      </c>
      <c r="M12" s="29"/>
      <c r="N12" s="4"/>
    </row>
    <row r="13" spans="2:16" s="3" customFormat="1" ht="150" customHeight="1">
      <c r="B13" s="52" t="str">
        <f>IF(ISBLANK(D13),,"No."&amp;ROW()-11)</f>
        <v>No.2</v>
      </c>
      <c r="C13" s="27"/>
      <c r="D13" s="28" t="s">
        <v>51</v>
      </c>
      <c r="E13" s="37" t="s">
        <v>52</v>
      </c>
      <c r="F13" s="83">
        <v>3</v>
      </c>
      <c r="G13" s="83">
        <v>1.75</v>
      </c>
      <c r="H13" s="38"/>
      <c r="I13" s="39"/>
      <c r="J13" s="40"/>
      <c r="K13" s="86">
        <f t="shared" ref="K13:K31" si="0">I13*J13</f>
        <v>0</v>
      </c>
      <c r="M13" s="29"/>
      <c r="N13" s="4"/>
    </row>
    <row r="14" spans="2:16" s="3" customFormat="1" ht="150" customHeight="1">
      <c r="B14" s="52">
        <f t="shared" ref="B14:B31" si="1">IF(ISBLANK(D14),,"No."&amp;ROW()-11)</f>
        <v>0</v>
      </c>
      <c r="C14" s="27"/>
      <c r="D14" s="28"/>
      <c r="E14" s="37"/>
      <c r="F14" s="83"/>
      <c r="G14" s="83"/>
      <c r="H14" s="38"/>
      <c r="I14" s="39"/>
      <c r="J14" s="40"/>
      <c r="K14" s="86">
        <f t="shared" si="0"/>
        <v>0</v>
      </c>
      <c r="M14" s="29"/>
      <c r="N14" s="4"/>
    </row>
    <row r="15" spans="2:16" s="3" customFormat="1" ht="150" customHeight="1">
      <c r="B15" s="52">
        <f t="shared" si="1"/>
        <v>0</v>
      </c>
      <c r="C15" s="27"/>
      <c r="D15" s="28"/>
      <c r="E15" s="37"/>
      <c r="F15" s="83"/>
      <c r="G15" s="83"/>
      <c r="H15" s="38"/>
      <c r="I15" s="39"/>
      <c r="J15" s="40"/>
      <c r="K15" s="86">
        <f t="shared" si="0"/>
        <v>0</v>
      </c>
      <c r="M15" s="29"/>
      <c r="N15" s="4"/>
    </row>
    <row r="16" spans="2:16" s="3" customFormat="1" ht="150" customHeight="1">
      <c r="B16" s="52">
        <f t="shared" si="1"/>
        <v>0</v>
      </c>
      <c r="C16" s="27"/>
      <c r="D16" s="28"/>
      <c r="E16" s="37"/>
      <c r="F16" s="83"/>
      <c r="G16" s="83"/>
      <c r="H16" s="38"/>
      <c r="I16" s="39"/>
      <c r="J16" s="40"/>
      <c r="K16" s="86">
        <f t="shared" si="0"/>
        <v>0</v>
      </c>
      <c r="M16" s="29"/>
      <c r="N16" s="4"/>
    </row>
    <row r="17" spans="2:14" s="3" customFormat="1" ht="150" customHeight="1">
      <c r="B17" s="52">
        <f t="shared" si="1"/>
        <v>0</v>
      </c>
      <c r="C17" s="27"/>
      <c r="D17" s="28"/>
      <c r="E17" s="37"/>
      <c r="F17" s="83"/>
      <c r="G17" s="83"/>
      <c r="H17" s="38"/>
      <c r="I17" s="39"/>
      <c r="J17" s="40"/>
      <c r="K17" s="86">
        <f t="shared" si="0"/>
        <v>0</v>
      </c>
      <c r="M17" s="29"/>
      <c r="N17" s="4"/>
    </row>
    <row r="18" spans="2:14" s="3" customFormat="1" ht="150" customHeight="1">
      <c r="B18" s="52">
        <f t="shared" si="1"/>
        <v>0</v>
      </c>
      <c r="C18" s="27"/>
      <c r="D18" s="28"/>
      <c r="E18" s="37"/>
      <c r="F18" s="83"/>
      <c r="G18" s="83"/>
      <c r="H18" s="38"/>
      <c r="I18" s="39"/>
      <c r="J18" s="40"/>
      <c r="K18" s="86">
        <f t="shared" si="0"/>
        <v>0</v>
      </c>
      <c r="M18" s="29"/>
      <c r="N18" s="4"/>
    </row>
    <row r="19" spans="2:14" s="3" customFormat="1" ht="150" customHeight="1">
      <c r="B19" s="52">
        <f t="shared" si="1"/>
        <v>0</v>
      </c>
      <c r="C19" s="27"/>
      <c r="D19" s="28"/>
      <c r="E19" s="37"/>
      <c r="F19" s="83"/>
      <c r="G19" s="83"/>
      <c r="H19" s="38"/>
      <c r="I19" s="39"/>
      <c r="J19" s="40"/>
      <c r="K19" s="86">
        <f t="shared" si="0"/>
        <v>0</v>
      </c>
      <c r="M19" s="29"/>
      <c r="N19" s="4"/>
    </row>
    <row r="20" spans="2:14" s="3" customFormat="1" ht="150" customHeight="1">
      <c r="B20" s="52">
        <f t="shared" si="1"/>
        <v>0</v>
      </c>
      <c r="C20" s="27"/>
      <c r="D20" s="28"/>
      <c r="E20" s="37"/>
      <c r="F20" s="83"/>
      <c r="G20" s="83"/>
      <c r="H20" s="38"/>
      <c r="I20" s="39"/>
      <c r="J20" s="40"/>
      <c r="K20" s="86">
        <f t="shared" si="0"/>
        <v>0</v>
      </c>
      <c r="M20" s="29"/>
      <c r="N20" s="4"/>
    </row>
    <row r="21" spans="2:14" s="3" customFormat="1" ht="150" customHeight="1">
      <c r="B21" s="52">
        <f t="shared" si="1"/>
        <v>0</v>
      </c>
      <c r="C21" s="27"/>
      <c r="D21" s="28"/>
      <c r="E21" s="37"/>
      <c r="F21" s="83"/>
      <c r="G21" s="83"/>
      <c r="H21" s="38"/>
      <c r="I21" s="39"/>
      <c r="J21" s="40"/>
      <c r="K21" s="86">
        <f t="shared" si="0"/>
        <v>0</v>
      </c>
      <c r="M21" s="29"/>
      <c r="N21" s="4"/>
    </row>
    <row r="22" spans="2:14" s="3" customFormat="1" ht="150" customHeight="1">
      <c r="B22" s="52">
        <f t="shared" si="1"/>
        <v>0</v>
      </c>
      <c r="C22" s="27"/>
      <c r="D22" s="28"/>
      <c r="E22" s="37"/>
      <c r="F22" s="83"/>
      <c r="G22" s="83"/>
      <c r="H22" s="38"/>
      <c r="I22" s="39"/>
      <c r="J22" s="40"/>
      <c r="K22" s="86">
        <f t="shared" si="0"/>
        <v>0</v>
      </c>
      <c r="M22" s="29"/>
      <c r="N22" s="4"/>
    </row>
    <row r="23" spans="2:14" s="3" customFormat="1" ht="150" customHeight="1">
      <c r="B23" s="52">
        <f t="shared" si="1"/>
        <v>0</v>
      </c>
      <c r="C23" s="27"/>
      <c r="D23" s="28"/>
      <c r="E23" s="37"/>
      <c r="F23" s="83"/>
      <c r="G23" s="83"/>
      <c r="H23" s="38"/>
      <c r="I23" s="39"/>
      <c r="J23" s="40"/>
      <c r="K23" s="86">
        <f t="shared" si="0"/>
        <v>0</v>
      </c>
      <c r="M23" s="29"/>
      <c r="N23" s="4"/>
    </row>
    <row r="24" spans="2:14" s="3" customFormat="1" ht="150" customHeight="1">
      <c r="B24" s="52">
        <f t="shared" si="1"/>
        <v>0</v>
      </c>
      <c r="C24" s="27"/>
      <c r="D24" s="28"/>
      <c r="E24" s="37"/>
      <c r="F24" s="83"/>
      <c r="G24" s="83"/>
      <c r="H24" s="38"/>
      <c r="I24" s="39"/>
      <c r="J24" s="40"/>
      <c r="K24" s="86">
        <f t="shared" si="0"/>
        <v>0</v>
      </c>
      <c r="M24" s="29"/>
      <c r="N24" s="4"/>
    </row>
    <row r="25" spans="2:14" s="3" customFormat="1" ht="150" customHeight="1">
      <c r="B25" s="52">
        <f t="shared" si="1"/>
        <v>0</v>
      </c>
      <c r="C25" s="27"/>
      <c r="D25" s="28"/>
      <c r="E25" s="37"/>
      <c r="F25" s="83"/>
      <c r="G25" s="83"/>
      <c r="H25" s="38"/>
      <c r="I25" s="39"/>
      <c r="J25" s="40"/>
      <c r="K25" s="86">
        <f t="shared" si="0"/>
        <v>0</v>
      </c>
      <c r="M25" s="29"/>
      <c r="N25" s="4"/>
    </row>
    <row r="26" spans="2:14" s="3" customFormat="1" ht="150" customHeight="1">
      <c r="B26" s="52">
        <f t="shared" si="1"/>
        <v>0</v>
      </c>
      <c r="C26" s="27"/>
      <c r="D26" s="28"/>
      <c r="E26" s="37"/>
      <c r="F26" s="83"/>
      <c r="G26" s="83"/>
      <c r="H26" s="38"/>
      <c r="I26" s="39"/>
      <c r="J26" s="40"/>
      <c r="K26" s="86">
        <f t="shared" si="0"/>
        <v>0</v>
      </c>
      <c r="M26" s="29"/>
      <c r="N26" s="4"/>
    </row>
    <row r="27" spans="2:14" s="3" customFormat="1" ht="150" customHeight="1">
      <c r="B27" s="52">
        <f t="shared" si="1"/>
        <v>0</v>
      </c>
      <c r="C27" s="27"/>
      <c r="D27" s="28"/>
      <c r="E27" s="37"/>
      <c r="F27" s="83"/>
      <c r="G27" s="83"/>
      <c r="H27" s="38"/>
      <c r="I27" s="39"/>
      <c r="J27" s="40"/>
      <c r="K27" s="86">
        <f t="shared" si="0"/>
        <v>0</v>
      </c>
      <c r="M27" s="29"/>
      <c r="N27" s="4"/>
    </row>
    <row r="28" spans="2:14" s="3" customFormat="1" ht="150" customHeight="1">
      <c r="B28" s="52">
        <f t="shared" si="1"/>
        <v>0</v>
      </c>
      <c r="C28" s="27"/>
      <c r="D28" s="28"/>
      <c r="E28" s="37"/>
      <c r="F28" s="83"/>
      <c r="G28" s="83"/>
      <c r="H28" s="38"/>
      <c r="I28" s="39"/>
      <c r="J28" s="40"/>
      <c r="K28" s="86">
        <f t="shared" si="0"/>
        <v>0</v>
      </c>
      <c r="M28" s="29"/>
      <c r="N28" s="4"/>
    </row>
    <row r="29" spans="2:14" s="3" customFormat="1" ht="150" customHeight="1">
      <c r="B29" s="52">
        <f t="shared" si="1"/>
        <v>0</v>
      </c>
      <c r="C29" s="27"/>
      <c r="D29" s="28"/>
      <c r="E29" s="37"/>
      <c r="F29" s="83"/>
      <c r="G29" s="83"/>
      <c r="H29" s="38"/>
      <c r="I29" s="39"/>
      <c r="J29" s="40"/>
      <c r="K29" s="86">
        <f t="shared" si="0"/>
        <v>0</v>
      </c>
      <c r="M29" s="29"/>
      <c r="N29" s="4"/>
    </row>
    <row r="30" spans="2:14" s="3" customFormat="1" ht="150" customHeight="1">
      <c r="B30" s="52">
        <f t="shared" si="1"/>
        <v>0</v>
      </c>
      <c r="C30" s="27"/>
      <c r="D30" s="28"/>
      <c r="E30" s="37"/>
      <c r="F30" s="83"/>
      <c r="G30" s="83"/>
      <c r="H30" s="38"/>
      <c r="I30" s="39"/>
      <c r="J30" s="40"/>
      <c r="K30" s="86">
        <f t="shared" si="0"/>
        <v>0</v>
      </c>
      <c r="M30" s="29"/>
      <c r="N30" s="4"/>
    </row>
    <row r="31" spans="2:14" s="3" customFormat="1" ht="150" customHeight="1" thickBot="1">
      <c r="B31" s="53">
        <f t="shared" si="1"/>
        <v>0</v>
      </c>
      <c r="C31" s="54"/>
      <c r="D31" s="55"/>
      <c r="E31" s="56"/>
      <c r="F31" s="84"/>
      <c r="G31" s="84"/>
      <c r="H31" s="57"/>
      <c r="I31" s="58"/>
      <c r="J31" s="59"/>
      <c r="K31" s="87">
        <f t="shared" si="0"/>
        <v>0</v>
      </c>
      <c r="M31" s="29"/>
      <c r="N31" s="4"/>
    </row>
    <row r="32" spans="2:14" s="60" customFormat="1" ht="18">
      <c r="F32" s="61"/>
      <c r="G32" s="61"/>
      <c r="H32" s="62" t="s">
        <v>38</v>
      </c>
      <c r="I32" s="63" t="str">
        <f>SUM(I20:I31)&amp;" pcs"</f>
        <v>0 pcs</v>
      </c>
      <c r="J32" s="64" t="s">
        <v>34</v>
      </c>
      <c r="K32" s="65">
        <f>SUM(K12:K31)</f>
        <v>26.5</v>
      </c>
    </row>
    <row r="33" spans="2:12" ht="28.8">
      <c r="H33" s="72" t="s">
        <v>35</v>
      </c>
      <c r="I33" s="73"/>
      <c r="J33" s="72"/>
      <c r="K33" s="74">
        <v>0</v>
      </c>
    </row>
    <row r="34" spans="2:12" ht="24.9" customHeight="1">
      <c r="H34" s="72" t="s">
        <v>36</v>
      </c>
      <c r="I34" s="72"/>
      <c r="J34" s="72"/>
      <c r="K34" s="74">
        <v>0</v>
      </c>
    </row>
    <row r="35" spans="2:12" ht="24.9" customHeight="1">
      <c r="H35" s="70" t="s">
        <v>37</v>
      </c>
      <c r="I35" s="95"/>
      <c r="J35" s="96"/>
      <c r="K35" s="75">
        <v>0</v>
      </c>
    </row>
    <row r="36" spans="2:12" ht="15.6">
      <c r="J36" s="66" t="s">
        <v>39</v>
      </c>
      <c r="K36" s="67">
        <f>SUM(K32:K35)</f>
        <v>26.5</v>
      </c>
    </row>
    <row r="37" spans="2:12" ht="15.6">
      <c r="B37" s="76"/>
      <c r="J37" s="70" t="s">
        <v>40</v>
      </c>
      <c r="K37" s="71">
        <f>K36*0.05</f>
        <v>1.3250000000000002</v>
      </c>
    </row>
    <row r="38" spans="2:12" ht="18">
      <c r="B38" s="97" t="str" cm="1">
        <f t="array" ref="B38">"»Amount in Words: "&amp;NumberToWords(K38)</f>
        <v>»Amount in Words: Twenty-Seven and 825 Fils</v>
      </c>
      <c r="C38" s="97"/>
      <c r="D38" s="97"/>
      <c r="E38" s="97"/>
      <c r="F38" s="97"/>
      <c r="G38" s="97"/>
      <c r="H38" s="97"/>
      <c r="I38" s="98"/>
      <c r="J38" s="68" t="s">
        <v>41</v>
      </c>
      <c r="K38" s="69">
        <f>K36+K37</f>
        <v>27.824999999999999</v>
      </c>
    </row>
    <row r="40" spans="2:12" s="3" customFormat="1" ht="18">
      <c r="B40" s="78" t="s">
        <v>42</v>
      </c>
      <c r="C40" s="77"/>
      <c r="D40" s="77"/>
      <c r="E40" s="77"/>
      <c r="F40" s="77"/>
      <c r="G40" s="77"/>
      <c r="H40" s="77"/>
      <c r="I40" s="77"/>
      <c r="J40" s="79"/>
      <c r="K40" s="80"/>
      <c r="L40" s="81"/>
    </row>
    <row r="41" spans="2:12" s="3" customFormat="1" ht="18">
      <c r="B41" s="78"/>
      <c r="C41" s="77"/>
      <c r="D41" s="77"/>
      <c r="E41" s="77"/>
      <c r="F41" s="77"/>
      <c r="G41" s="77"/>
      <c r="H41" s="77"/>
      <c r="I41" s="77"/>
      <c r="J41" s="79"/>
      <c r="K41" s="80"/>
      <c r="L41" s="81"/>
    </row>
    <row r="42" spans="2:12" s="3" customFormat="1" ht="18">
      <c r="B42" s="99" t="s">
        <v>45</v>
      </c>
      <c r="C42" s="99"/>
      <c r="D42" s="99"/>
      <c r="E42" s="99"/>
      <c r="F42" s="99"/>
      <c r="G42" s="99"/>
      <c r="H42" s="99"/>
      <c r="I42" s="99"/>
      <c r="J42" s="99"/>
      <c r="K42" s="99"/>
      <c r="L42" s="81"/>
    </row>
    <row r="43" spans="2:12" s="3" customFormat="1" ht="18">
      <c r="B43" s="99" t="s">
        <v>46</v>
      </c>
      <c r="C43" s="99"/>
      <c r="D43" s="99"/>
      <c r="E43" s="99"/>
      <c r="F43" s="99"/>
      <c r="G43" s="99"/>
      <c r="H43" s="99"/>
      <c r="I43" s="99"/>
      <c r="J43" s="99"/>
      <c r="K43" s="99"/>
      <c r="L43" s="81"/>
    </row>
    <row r="44" spans="2:12" s="3" customFormat="1" ht="18">
      <c r="B44" s="99" t="s">
        <v>47</v>
      </c>
      <c r="C44" s="99"/>
      <c r="D44" s="99"/>
      <c r="E44" s="99"/>
      <c r="F44" s="99"/>
      <c r="G44" s="99"/>
      <c r="H44" s="99"/>
      <c r="I44" s="99"/>
      <c r="J44" s="99"/>
      <c r="K44" s="99"/>
      <c r="L44" s="81"/>
    </row>
    <row r="45" spans="2:12" s="3" customFormat="1" ht="18">
      <c r="B45" s="99" t="s">
        <v>48</v>
      </c>
      <c r="C45" s="99"/>
      <c r="D45" s="99"/>
      <c r="E45" s="99"/>
      <c r="F45" s="99"/>
      <c r="G45" s="99"/>
      <c r="H45" s="99"/>
      <c r="I45" s="99"/>
      <c r="J45" s="99"/>
      <c r="K45" s="99"/>
      <c r="L45" s="81"/>
    </row>
    <row r="46" spans="2:12" s="3" customFormat="1" ht="18">
      <c r="B46" s="99" t="s">
        <v>53</v>
      </c>
      <c r="C46" s="99"/>
      <c r="D46" s="99"/>
      <c r="E46" s="99"/>
      <c r="F46" s="99"/>
      <c r="G46" s="99"/>
      <c r="H46" s="99"/>
      <c r="I46" s="99"/>
      <c r="J46" s="99"/>
      <c r="K46" s="99"/>
      <c r="L46" s="81"/>
    </row>
    <row r="47" spans="2:12" s="3" customFormat="1" ht="18">
      <c r="B47" s="99" t="s">
        <v>49</v>
      </c>
      <c r="C47" s="99"/>
      <c r="D47" s="99"/>
      <c r="E47" s="99"/>
      <c r="F47" s="99"/>
      <c r="G47" s="99"/>
      <c r="H47" s="99"/>
      <c r="I47" s="99"/>
      <c r="J47" s="99"/>
      <c r="K47" s="99"/>
      <c r="L47" s="81"/>
    </row>
    <row r="48" spans="2:12" s="3" customFormat="1" ht="18.600000000000001" thickBot="1">
      <c r="B48" s="99" t="s">
        <v>50</v>
      </c>
      <c r="C48" s="99"/>
      <c r="D48" s="99"/>
      <c r="E48" s="99"/>
      <c r="F48" s="99"/>
      <c r="G48" s="99"/>
      <c r="H48" s="99"/>
      <c r="I48" s="99"/>
      <c r="J48" s="99"/>
      <c r="K48" s="99"/>
      <c r="L48" s="81"/>
    </row>
    <row r="49" spans="2:12" s="3" customFormat="1" ht="18.600000000000001" thickBot="1">
      <c r="B49" s="100" t="s">
        <v>43</v>
      </c>
      <c r="C49" s="101"/>
      <c r="D49" s="101"/>
      <c r="E49" s="101"/>
      <c r="F49" s="101"/>
      <c r="G49" s="101"/>
      <c r="H49" s="101"/>
      <c r="I49" s="101"/>
      <c r="J49" s="101"/>
      <c r="K49" s="102"/>
      <c r="L49" s="81"/>
    </row>
    <row r="50" spans="2:12" s="3" customFormat="1" ht="18">
      <c r="B50" s="92" t="s">
        <v>44</v>
      </c>
      <c r="C50" s="92"/>
      <c r="D50" s="92"/>
      <c r="E50" s="92"/>
      <c r="F50" s="92"/>
      <c r="G50" s="92"/>
      <c r="H50" s="92"/>
      <c r="I50" s="92"/>
      <c r="J50" s="80"/>
      <c r="K50" s="80"/>
      <c r="L50" s="81"/>
    </row>
    <row r="51" spans="2:12">
      <c r="E51" s="35"/>
      <c r="G51"/>
    </row>
    <row r="52" spans="2:12">
      <c r="E52" s="35"/>
      <c r="G52"/>
    </row>
  </sheetData>
  <mergeCells count="19">
    <mergeCell ref="B50:I50"/>
    <mergeCell ref="D7:I10"/>
    <mergeCell ref="I35:J35"/>
    <mergeCell ref="B38:I38"/>
    <mergeCell ref="B42:K42"/>
    <mergeCell ref="B43:K43"/>
    <mergeCell ref="B44:K44"/>
    <mergeCell ref="B45:K45"/>
    <mergeCell ref="B46:K46"/>
    <mergeCell ref="B47:K47"/>
    <mergeCell ref="B48:K48"/>
    <mergeCell ref="B49:K49"/>
    <mergeCell ref="B5:C5"/>
    <mergeCell ref="J1:K1"/>
    <mergeCell ref="B1:C1"/>
    <mergeCell ref="B2:C2"/>
    <mergeCell ref="J2:K2"/>
    <mergeCell ref="B3:C3"/>
    <mergeCell ref="B4:C4"/>
  </mergeCells>
  <printOptions horizontalCentered="1"/>
  <pageMargins left="0.25" right="0.25" top="0.75" bottom="0.75" header="0.3" footer="0.3"/>
  <pageSetup paperSize="9" scale="48" fitToHeight="3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8</xdr:col>
                    <xdr:colOff>60960</xdr:colOff>
                    <xdr:row>32</xdr:row>
                    <xdr:rowOff>160020</xdr:rowOff>
                  </from>
                  <to>
                    <xdr:col>9</xdr:col>
                    <xdr:colOff>182880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9</xdr:col>
                    <xdr:colOff>45720</xdr:colOff>
                    <xdr:row>31</xdr:row>
                    <xdr:rowOff>160020</xdr:rowOff>
                  </from>
                  <to>
                    <xdr:col>9</xdr:col>
                    <xdr:colOff>571500</xdr:colOff>
                    <xdr:row>33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8</xdr:col>
                    <xdr:colOff>60960</xdr:colOff>
                    <xdr:row>32</xdr:row>
                    <xdr:rowOff>7620</xdr:rowOff>
                  </from>
                  <to>
                    <xdr:col>9</xdr:col>
                    <xdr:colOff>7620</xdr:colOff>
                    <xdr:row>33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9</xdr:col>
                    <xdr:colOff>60960</xdr:colOff>
                    <xdr:row>32</xdr:row>
                    <xdr:rowOff>350520</xdr:rowOff>
                  </from>
                  <to>
                    <xdr:col>9</xdr:col>
                    <xdr:colOff>579120</xdr:colOff>
                    <xdr:row>34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Trees &amp; Arrangment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quite mad</cp:lastModifiedBy>
  <cp:lastPrinted>2025-11-09T10:27:37Z</cp:lastPrinted>
  <dcterms:created xsi:type="dcterms:W3CDTF">2015-06-05T18:17:20Z</dcterms:created>
  <dcterms:modified xsi:type="dcterms:W3CDTF">2026-03-19T18:58:32Z</dcterms:modified>
</cp:coreProperties>
</file>